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erg\Documents\Esposa mia\"/>
    </mc:Choice>
  </mc:AlternateContent>
  <xr:revisionPtr revIDLastSave="0" documentId="8_{4F55735E-3B36-46DA-86F1-DA1D6E7F189E}" xr6:coauthVersionLast="47" xr6:coauthVersionMax="47" xr10:uidLastSave="{00000000-0000-0000-0000-000000000000}"/>
  <bookViews>
    <workbookView xWindow="-108" yWindow="-108" windowWidth="23256" windowHeight="12456" xr2:uid="{590F8A85-BC9C-E849-803F-FD34B897DCBD}"/>
  </bookViews>
  <sheets>
    <sheet name="Hoja1 (2)" sheetId="2" r:id="rId1"/>
    <sheet name="Hoj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" l="1"/>
  <c r="K18" i="2" s="1"/>
  <c r="L18" i="2" s="1"/>
  <c r="J8" i="2"/>
  <c r="K8" i="2" s="1"/>
  <c r="J22" i="2"/>
  <c r="J17" i="2"/>
  <c r="K17" i="2" s="1"/>
  <c r="L17" i="2" s="1"/>
  <c r="J16" i="2"/>
  <c r="K16" i="2" s="1"/>
  <c r="L16" i="2" s="1"/>
  <c r="J15" i="2"/>
  <c r="K15" i="2" s="1"/>
  <c r="J14" i="2"/>
  <c r="K14" i="2" s="1"/>
  <c r="L14" i="2" s="1"/>
  <c r="J13" i="2"/>
  <c r="K13" i="2" s="1"/>
  <c r="L13" i="2" s="1"/>
  <c r="J12" i="2"/>
  <c r="K12" i="2" s="1"/>
  <c r="L12" i="2" s="1"/>
  <c r="J11" i="2"/>
  <c r="K11" i="2" s="1"/>
  <c r="L11" i="2" s="1"/>
  <c r="J10" i="2"/>
  <c r="K10" i="2" s="1"/>
  <c r="L10" i="2" s="1"/>
  <c r="J9" i="2"/>
  <c r="K9" i="2" s="1"/>
  <c r="L9" i="2" s="1"/>
  <c r="K31" i="1"/>
  <c r="K30" i="1"/>
  <c r="K28" i="1"/>
  <c r="L26" i="1"/>
  <c r="K26" i="1"/>
  <c r="L10" i="1"/>
  <c r="L11" i="1"/>
  <c r="L12" i="1"/>
  <c r="L13" i="1"/>
  <c r="L14" i="1"/>
  <c r="L15" i="1"/>
  <c r="L16" i="1"/>
  <c r="L17" i="1"/>
  <c r="L18" i="1"/>
  <c r="L9" i="1"/>
  <c r="K10" i="1"/>
  <c r="K11" i="1"/>
  <c r="K12" i="1"/>
  <c r="K13" i="1"/>
  <c r="K14" i="1"/>
  <c r="K15" i="1"/>
  <c r="K16" i="1"/>
  <c r="K17" i="1"/>
  <c r="K18" i="1"/>
  <c r="K9" i="1"/>
  <c r="J10" i="1"/>
  <c r="J11" i="1"/>
  <c r="J12" i="1"/>
  <c r="J13" i="1"/>
  <c r="J14" i="1"/>
  <c r="J15" i="1"/>
  <c r="J16" i="1"/>
  <c r="J17" i="1"/>
  <c r="J18" i="1"/>
  <c r="J9" i="1"/>
  <c r="J23" i="1"/>
  <c r="L15" i="2" l="1"/>
  <c r="L8" i="2"/>
  <c r="K25" i="2"/>
  <c r="L31" i="1"/>
  <c r="K32" i="1"/>
  <c r="K27" i="2" l="1"/>
  <c r="L25" i="2"/>
  <c r="K29" i="2" l="1"/>
  <c r="K30" i="2" s="1"/>
  <c r="L30" i="2" l="1"/>
</calcChain>
</file>

<file path=xl/sharedStrings.xml><?xml version="1.0" encoding="utf-8"?>
<sst xmlns="http://schemas.openxmlformats.org/spreadsheetml/2006/main" count="128" uniqueCount="68">
  <si>
    <t xml:space="preserve">FICHA TÉCNICA GASTRONOMÍA/ADMINISTRACIÓN GASTRONÓMICA </t>
  </si>
  <si>
    <t>Nombre de la preparación</t>
  </si>
  <si>
    <t>Código</t>
  </si>
  <si>
    <t>Categoría</t>
  </si>
  <si>
    <t>Aporte Calórico</t>
  </si>
  <si>
    <t xml:space="preserve">Tiempo de preparación </t>
  </si>
  <si>
    <t>Rendimiento pax</t>
  </si>
  <si>
    <t>Legumbres</t>
  </si>
  <si>
    <t>GAA201_15</t>
  </si>
  <si>
    <t>Procesos de Elaboración</t>
  </si>
  <si>
    <t>Productos ordenados por naturaleza</t>
  </si>
  <si>
    <t>U/M</t>
  </si>
  <si>
    <t>$ U/M</t>
  </si>
  <si>
    <t>A</t>
  </si>
  <si>
    <t>B</t>
  </si>
  <si>
    <t>C</t>
  </si>
  <si>
    <t>D</t>
  </si>
  <si>
    <t>E</t>
  </si>
  <si>
    <t>Total</t>
  </si>
  <si>
    <t>Costo Total</t>
  </si>
  <si>
    <t>Costo Porción</t>
  </si>
  <si>
    <t>ABARROTES</t>
  </si>
  <si>
    <t>GARBANZOS - CRUDOS</t>
  </si>
  <si>
    <t>KILO</t>
  </si>
  <si>
    <t>LENTEJAS - 6 MM</t>
  </si>
  <si>
    <t>POROTO - GRANADOS</t>
  </si>
  <si>
    <t>POROTO - NEGRO</t>
  </si>
  <si>
    <t>ARROZ - Grado 2</t>
  </si>
  <si>
    <t>QUINOA - BLANCA</t>
  </si>
  <si>
    <t>ACEITE OLIVA EXTRA VIRGEN</t>
  </si>
  <si>
    <t>LITRO</t>
  </si>
  <si>
    <t>SAL</t>
  </si>
  <si>
    <t>PIMIENTA - NEGRA ENTERA</t>
  </si>
  <si>
    <t>AJO</t>
  </si>
  <si>
    <t>UNIDAD</t>
  </si>
  <si>
    <t>Tiempos de elaboración</t>
  </si>
  <si>
    <t>min.</t>
  </si>
  <si>
    <t xml:space="preserve">Total </t>
  </si>
  <si>
    <t xml:space="preserve">Técnicas de la clase </t>
  </si>
  <si>
    <t>Montaje (foto del alumno)</t>
  </si>
  <si>
    <t xml:space="preserve">Costos </t>
  </si>
  <si>
    <t>Unit.</t>
  </si>
  <si>
    <t>Costo de receta (M P)</t>
  </si>
  <si>
    <t>Make up %</t>
  </si>
  <si>
    <t>Puntos Críticos</t>
  </si>
  <si>
    <t>Subtotal</t>
  </si>
  <si>
    <t xml:space="preserve">Factor de multiplicación </t>
  </si>
  <si>
    <t>IVA 19%</t>
  </si>
  <si>
    <t>Precio de Bruto</t>
  </si>
  <si>
    <t>% Ratio de costo</t>
  </si>
  <si>
    <t>AZUCAR</t>
  </si>
  <si>
    <t>CESTE DE LIMON</t>
  </si>
  <si>
    <t>MAICENA</t>
  </si>
  <si>
    <t>HARINA CON POLVOS</t>
  </si>
  <si>
    <t>HUEVOS</t>
  </si>
  <si>
    <t>LECHE</t>
  </si>
  <si>
    <t>YOGURTH</t>
  </si>
  <si>
    <t>ACEITE</t>
  </si>
  <si>
    <t>POLVO DE HORNEAR</t>
  </si>
  <si>
    <t>CANT. A</t>
  </si>
  <si>
    <t>CANT. B</t>
  </si>
  <si>
    <t>CANT. C</t>
  </si>
  <si>
    <t>CANT. D</t>
  </si>
  <si>
    <t>CANT. E</t>
  </si>
  <si>
    <t>QUEQUE</t>
  </si>
  <si>
    <t>NUECES</t>
  </si>
  <si>
    <t>% GANANCIA</t>
  </si>
  <si>
    <t>PRECIO VENTA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</si>
</sst>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_-&quot;$&quot;\ * #,##0_-;\-&quot;$&quot;\ * #,##0_-;_-&quot;$&quot;\ * &quot;-&quot;??_-;_-@"/>
    <numFmt numFmtId="165" formatCode="&quot;$&quot;#,##0"/>
  </numFmts>
  <fonts count="6" x14ac:knownFonts="1">
    <font>
      <sz val="12"/>
      <color theme="1"/>
      <name val="Calibri"/>
      <family val="2"/>
      <scheme val="minor"/>
    </font>
    <font>
      <b/>
      <sz val="10"/>
      <color theme="1"/>
      <name val="Palatino Linotype"/>
      <family val="1"/>
    </font>
    <font>
      <sz val="10"/>
      <name val="Palatino Linotype"/>
      <family val="1"/>
    </font>
    <font>
      <sz val="10"/>
      <color theme="1"/>
      <name val="Palatino Linotype"/>
      <family val="1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double">
        <color rgb="FFC0C0C0"/>
      </left>
      <right/>
      <top style="double">
        <color rgb="FFC0C0C0"/>
      </top>
      <bottom/>
      <diagonal/>
    </border>
    <border>
      <left/>
      <right/>
      <top style="double">
        <color rgb="FFC0C0C0"/>
      </top>
      <bottom/>
      <diagonal/>
    </border>
    <border>
      <left/>
      <right style="double">
        <color rgb="FFC0C0C0"/>
      </right>
      <top style="double">
        <color rgb="FFC0C0C0"/>
      </top>
      <bottom/>
      <diagonal/>
    </border>
    <border>
      <left style="double">
        <color rgb="FFC0C0C0"/>
      </left>
      <right/>
      <top/>
      <bottom style="double">
        <color rgb="FFC0C0C0"/>
      </bottom>
      <diagonal/>
    </border>
    <border>
      <left/>
      <right/>
      <top/>
      <bottom style="double">
        <color rgb="FFC0C0C0"/>
      </bottom>
      <diagonal/>
    </border>
    <border>
      <left/>
      <right style="double">
        <color rgb="FFC0C0C0"/>
      </right>
      <top/>
      <bottom style="double">
        <color rgb="FFC0C0C0"/>
      </bottom>
      <diagonal/>
    </border>
    <border>
      <left/>
      <right style="dotted">
        <color rgb="FFC0C0C0"/>
      </right>
      <top style="double">
        <color rgb="FFC0C0C0"/>
      </top>
      <bottom/>
      <diagonal/>
    </border>
    <border>
      <left style="dotted">
        <color rgb="FFC0C0C0"/>
      </left>
      <right/>
      <top style="double">
        <color rgb="FFC0C0C0"/>
      </top>
      <bottom/>
      <diagonal/>
    </border>
    <border>
      <left style="double">
        <color rgb="FFC0C0C0"/>
      </left>
      <right/>
      <top/>
      <bottom style="dotted">
        <color rgb="FFC0C0C0"/>
      </bottom>
      <diagonal/>
    </border>
    <border>
      <left/>
      <right/>
      <top/>
      <bottom style="dotted">
        <color rgb="FFC0C0C0"/>
      </bottom>
      <diagonal/>
    </border>
    <border>
      <left/>
      <right style="dotted">
        <color rgb="FFC0C0C0"/>
      </right>
      <top/>
      <bottom style="dotted">
        <color rgb="FFC0C0C0"/>
      </bottom>
      <diagonal/>
    </border>
    <border>
      <left style="dotted">
        <color rgb="FFC0C0C0"/>
      </left>
      <right/>
      <top/>
      <bottom style="dotted">
        <color rgb="FFC0C0C0"/>
      </bottom>
      <diagonal/>
    </border>
    <border>
      <left/>
      <right style="double">
        <color rgb="FFC0C0C0"/>
      </right>
      <top/>
      <bottom style="dotted">
        <color rgb="FFC0C0C0"/>
      </bottom>
      <diagonal/>
    </border>
    <border>
      <left style="double">
        <color rgb="FFC0C0C0"/>
      </left>
      <right/>
      <top style="dotted">
        <color rgb="FFC0C0C0"/>
      </top>
      <bottom style="double">
        <color rgb="FFC0C0C0"/>
      </bottom>
      <diagonal/>
    </border>
    <border>
      <left/>
      <right/>
      <top style="dotted">
        <color rgb="FFC0C0C0"/>
      </top>
      <bottom style="double">
        <color rgb="FFC0C0C0"/>
      </bottom>
      <diagonal/>
    </border>
    <border>
      <left/>
      <right style="dotted">
        <color rgb="FFC0C0C0"/>
      </right>
      <top style="dotted">
        <color rgb="FFC0C0C0"/>
      </top>
      <bottom style="double">
        <color rgb="FFC0C0C0"/>
      </bottom>
      <diagonal/>
    </border>
    <border>
      <left style="dotted">
        <color rgb="FFC0C0C0"/>
      </left>
      <right/>
      <top style="dotted">
        <color rgb="FFC0C0C0"/>
      </top>
      <bottom style="double">
        <color rgb="FFC0C0C0"/>
      </bottom>
      <diagonal/>
    </border>
    <border>
      <left/>
      <right style="double">
        <color rgb="FFC0C0C0"/>
      </right>
      <top style="dotted">
        <color rgb="FFC0C0C0"/>
      </top>
      <bottom style="double">
        <color rgb="FFC0C0C0"/>
      </bottom>
      <diagonal/>
    </border>
    <border>
      <left style="dotted">
        <color rgb="FFC0C0C0"/>
      </left>
      <right style="dotted">
        <color rgb="FFC0C0C0"/>
      </right>
      <top style="double">
        <color rgb="FFC0C0C0"/>
      </top>
      <bottom/>
      <diagonal/>
    </border>
    <border>
      <left style="double">
        <color rgb="FFC0C0C0"/>
      </left>
      <right style="dotted">
        <color rgb="FFC0C0C0"/>
      </right>
      <top style="double">
        <color rgb="FFC0C0C0"/>
      </top>
      <bottom/>
      <diagonal/>
    </border>
    <border>
      <left style="dotted">
        <color rgb="FFC0C0C0"/>
      </left>
      <right style="double">
        <color rgb="FFC0C0C0"/>
      </right>
      <top style="double">
        <color rgb="FFC0C0C0"/>
      </top>
      <bottom/>
      <diagonal/>
    </border>
    <border>
      <left style="double">
        <color rgb="FF999999"/>
      </left>
      <right/>
      <top style="double">
        <color rgb="FF999999"/>
      </top>
      <bottom/>
      <diagonal/>
    </border>
    <border>
      <left style="double">
        <color rgb="FF999999"/>
      </left>
      <right style="hair">
        <color rgb="FF999999"/>
      </right>
      <top style="double">
        <color rgb="FF999999"/>
      </top>
      <bottom style="hair">
        <color rgb="FF999999"/>
      </bottom>
      <diagonal/>
    </border>
    <border>
      <left style="hair">
        <color rgb="FF999999"/>
      </left>
      <right style="hair">
        <color rgb="FF999999"/>
      </right>
      <top style="double">
        <color rgb="FF999999"/>
      </top>
      <bottom style="hair">
        <color rgb="FF999999"/>
      </bottom>
      <diagonal/>
    </border>
    <border>
      <left style="hair">
        <color rgb="FF999999"/>
      </left>
      <right/>
      <top style="double">
        <color rgb="FF999999"/>
      </top>
      <bottom style="hair">
        <color rgb="FF999999"/>
      </bottom>
      <diagonal/>
    </border>
    <border>
      <left style="double">
        <color rgb="FFC0C0C0"/>
      </left>
      <right style="hair">
        <color rgb="FF999999"/>
      </right>
      <top style="double">
        <color rgb="FF999999"/>
      </top>
      <bottom style="hair">
        <color rgb="FF999999"/>
      </bottom>
      <diagonal/>
    </border>
    <border>
      <left style="hair">
        <color rgb="FF999999"/>
      </left>
      <right style="double">
        <color rgb="FF999999"/>
      </right>
      <top style="double">
        <color rgb="FF999999"/>
      </top>
      <bottom style="hair">
        <color rgb="FF999999"/>
      </bottom>
      <diagonal/>
    </border>
    <border>
      <left style="double">
        <color rgb="FF999999"/>
      </left>
      <right/>
      <top/>
      <bottom/>
      <diagonal/>
    </border>
    <border>
      <left style="double">
        <color rgb="FF999999"/>
      </left>
      <right style="hair">
        <color rgb="FF999999"/>
      </right>
      <top style="hair">
        <color rgb="FF999999"/>
      </top>
      <bottom style="hair">
        <color rgb="FF999999"/>
      </bottom>
      <diagonal/>
    </border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  <diagonal/>
    </border>
    <border>
      <left style="hair">
        <color rgb="FF999999"/>
      </left>
      <right/>
      <top style="hair">
        <color rgb="FF999999"/>
      </top>
      <bottom style="hair">
        <color rgb="FF999999"/>
      </bottom>
      <diagonal/>
    </border>
    <border>
      <left style="double">
        <color rgb="FFC0C0C0"/>
      </left>
      <right style="hair">
        <color rgb="FF999999"/>
      </right>
      <top style="hair">
        <color rgb="FF999999"/>
      </top>
      <bottom style="hair">
        <color rgb="FF999999"/>
      </bottom>
      <diagonal/>
    </border>
    <border>
      <left style="hair">
        <color rgb="FF999999"/>
      </left>
      <right style="double">
        <color rgb="FF999999"/>
      </right>
      <top style="hair">
        <color rgb="FF999999"/>
      </top>
      <bottom style="hair">
        <color rgb="FF999999"/>
      </bottom>
      <diagonal/>
    </border>
    <border>
      <left style="double">
        <color rgb="FF999999"/>
      </left>
      <right/>
      <top/>
      <bottom style="double">
        <color rgb="FF999999"/>
      </bottom>
      <diagonal/>
    </border>
    <border>
      <left style="double">
        <color rgb="FF999999"/>
      </left>
      <right style="hair">
        <color rgb="FF999999"/>
      </right>
      <top style="hair">
        <color rgb="FF999999"/>
      </top>
      <bottom style="double">
        <color rgb="FF999999"/>
      </bottom>
      <diagonal/>
    </border>
    <border>
      <left style="hair">
        <color rgb="FF999999"/>
      </left>
      <right style="hair">
        <color rgb="FF999999"/>
      </right>
      <top style="hair">
        <color rgb="FF999999"/>
      </top>
      <bottom style="double">
        <color rgb="FF999999"/>
      </bottom>
      <diagonal/>
    </border>
    <border>
      <left style="hair">
        <color rgb="FF999999"/>
      </left>
      <right/>
      <top style="hair">
        <color rgb="FF999999"/>
      </top>
      <bottom style="double">
        <color rgb="FF999999"/>
      </bottom>
      <diagonal/>
    </border>
    <border>
      <left style="double">
        <color rgb="FFC0C0C0"/>
      </left>
      <right style="hair">
        <color rgb="FF999999"/>
      </right>
      <top style="hair">
        <color rgb="FF999999"/>
      </top>
      <bottom style="double">
        <color rgb="FF999999"/>
      </bottom>
      <diagonal/>
    </border>
    <border>
      <left style="hair">
        <color rgb="FF999999"/>
      </left>
      <right style="double">
        <color rgb="FF999999"/>
      </right>
      <top style="hair">
        <color rgb="FF999999"/>
      </top>
      <bottom style="double">
        <color rgb="FF999999"/>
      </bottom>
      <diagonal/>
    </border>
    <border>
      <left style="dotted">
        <color rgb="FFC0C0C0"/>
      </left>
      <right style="dotted">
        <color rgb="FFC0C0C0"/>
      </right>
      <top style="double">
        <color rgb="FFC0C0C0"/>
      </top>
      <bottom style="dotted">
        <color rgb="FFC0C0C0"/>
      </bottom>
      <diagonal/>
    </border>
    <border>
      <left style="dotted">
        <color rgb="FFC0C0C0"/>
      </left>
      <right/>
      <top style="double">
        <color rgb="FFC0C0C0"/>
      </top>
      <bottom style="dotted">
        <color rgb="FFC0C0C0"/>
      </bottom>
      <diagonal/>
    </border>
    <border>
      <left/>
      <right style="double">
        <color rgb="FFC0C0C0"/>
      </right>
      <top style="double">
        <color rgb="FFC0C0C0"/>
      </top>
      <bottom style="dotted">
        <color rgb="FFC0C0C0"/>
      </bottom>
      <diagonal/>
    </border>
    <border>
      <left/>
      <right style="dotted">
        <color rgb="FFC0C0C0"/>
      </right>
      <top/>
      <bottom style="double">
        <color rgb="FFC0C0C0"/>
      </bottom>
      <diagonal/>
    </border>
    <border>
      <left style="dotted">
        <color rgb="FFC0C0C0"/>
      </left>
      <right style="dotted">
        <color rgb="FFC0C0C0"/>
      </right>
      <top/>
      <bottom style="double">
        <color rgb="FFC0C0C0"/>
      </bottom>
      <diagonal/>
    </border>
    <border>
      <left style="dotted">
        <color rgb="FFC0C0C0"/>
      </left>
      <right style="dotted">
        <color rgb="FFC0C0C0"/>
      </right>
      <top style="dotted">
        <color rgb="FFC0C0C0"/>
      </top>
      <bottom style="double">
        <color rgb="FFC0C0C0"/>
      </bottom>
      <diagonal/>
    </border>
    <border>
      <left style="double">
        <color rgb="FF999999"/>
      </left>
      <right style="hair">
        <color rgb="FF999999"/>
      </right>
      <top style="double">
        <color rgb="FF999999"/>
      </top>
      <bottom style="double">
        <color rgb="FF999999"/>
      </bottom>
      <diagonal/>
    </border>
    <border>
      <left style="double">
        <color rgb="FF999999"/>
      </left>
      <right/>
      <top style="double">
        <color rgb="FF999999"/>
      </top>
      <bottom style="hair">
        <color rgb="FF999999"/>
      </bottom>
      <diagonal/>
    </border>
    <border>
      <left/>
      <right/>
      <top style="double">
        <color rgb="FF999999"/>
      </top>
      <bottom style="hair">
        <color rgb="FF999999"/>
      </bottom>
      <diagonal/>
    </border>
    <border>
      <left/>
      <right style="double">
        <color rgb="FF999999"/>
      </right>
      <top style="double">
        <color rgb="FF999999"/>
      </top>
      <bottom style="hair">
        <color rgb="FF999999"/>
      </bottom>
      <diagonal/>
    </border>
    <border>
      <left/>
      <right style="hair">
        <color rgb="FF999999"/>
      </right>
      <top style="double">
        <color rgb="FF999999"/>
      </top>
      <bottom style="hair">
        <color rgb="FF999999"/>
      </bottom>
      <diagonal/>
    </border>
    <border>
      <left style="double">
        <color rgb="FF999999"/>
      </left>
      <right style="hair">
        <color rgb="FF999999"/>
      </right>
      <top/>
      <bottom style="hair">
        <color rgb="FF999999"/>
      </bottom>
      <diagonal/>
    </border>
    <border>
      <left style="double">
        <color rgb="FF999999"/>
      </left>
      <right/>
      <top style="hair">
        <color rgb="FF999999"/>
      </top>
      <bottom/>
      <diagonal/>
    </border>
    <border>
      <left/>
      <right/>
      <top style="hair">
        <color rgb="FF999999"/>
      </top>
      <bottom/>
      <diagonal/>
    </border>
    <border>
      <left/>
      <right style="double">
        <color rgb="FF999999"/>
      </right>
      <top style="hair">
        <color rgb="FF999999"/>
      </top>
      <bottom/>
      <diagonal/>
    </border>
    <border>
      <left style="double">
        <color rgb="FF999999"/>
      </left>
      <right/>
      <top style="hair">
        <color rgb="FF999999"/>
      </top>
      <bottom style="hair">
        <color rgb="FF999999"/>
      </bottom>
      <diagonal/>
    </border>
    <border>
      <left/>
      <right/>
      <top style="hair">
        <color rgb="FF999999"/>
      </top>
      <bottom style="hair">
        <color rgb="FF999999"/>
      </bottom>
      <diagonal/>
    </border>
    <border>
      <left/>
      <right style="hair">
        <color rgb="FF999999"/>
      </right>
      <top style="hair">
        <color rgb="FF999999"/>
      </top>
      <bottom style="hair">
        <color rgb="FF999999"/>
      </bottom>
      <diagonal/>
    </border>
    <border>
      <left style="double">
        <color rgb="FF999999"/>
      </left>
      <right style="hair">
        <color rgb="FF999999"/>
      </right>
      <top style="hair">
        <color rgb="FF999999"/>
      </top>
      <bottom/>
      <diagonal/>
    </border>
    <border>
      <left/>
      <right style="double">
        <color rgb="FF999999"/>
      </right>
      <top/>
      <bottom/>
      <diagonal/>
    </border>
    <border>
      <left/>
      <right/>
      <top/>
      <bottom style="double">
        <color rgb="FF999999"/>
      </bottom>
      <diagonal/>
    </border>
    <border>
      <left/>
      <right style="double">
        <color rgb="FF999999"/>
      </right>
      <top/>
      <bottom style="double">
        <color rgb="FF999999"/>
      </bottom>
      <diagonal/>
    </border>
    <border>
      <left style="double">
        <color rgb="FF999999"/>
      </left>
      <right/>
      <top style="hair">
        <color rgb="FF999999"/>
      </top>
      <bottom style="double">
        <color rgb="FF999999"/>
      </bottom>
      <diagonal/>
    </border>
    <border>
      <left/>
      <right/>
      <top style="hair">
        <color rgb="FF999999"/>
      </top>
      <bottom style="double">
        <color rgb="FF999999"/>
      </bottom>
      <diagonal/>
    </border>
    <border>
      <left/>
      <right style="hair">
        <color rgb="FF999999"/>
      </right>
      <top style="hair">
        <color rgb="FF999999"/>
      </top>
      <bottom style="double">
        <color rgb="FF999999"/>
      </bottom>
      <diagonal/>
    </border>
  </borders>
  <cellStyleXfs count="2">
    <xf numFmtId="0" fontId="0" fillId="0" borderId="0"/>
    <xf numFmtId="42" fontId="5" fillId="0" borderId="0" applyFont="0" applyFill="0" applyBorder="0" applyAlignment="0" applyProtection="0"/>
  </cellStyleXfs>
  <cellXfs count="116">
    <xf numFmtId="0" fontId="0" fillId="0" borderId="0" xfId="0"/>
    <xf numFmtId="0" fontId="3" fillId="0" borderId="0" xfId="0" applyFont="1"/>
    <xf numFmtId="0" fontId="1" fillId="0" borderId="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3" borderId="22" xfId="0" applyFont="1" applyFill="1" applyBorder="1" applyAlignment="1">
      <alignment wrapText="1"/>
    </xf>
    <xf numFmtId="0" fontId="1" fillId="0" borderId="23" xfId="0" applyFont="1" applyBorder="1" applyAlignment="1">
      <alignment wrapText="1"/>
    </xf>
    <xf numFmtId="0" fontId="3" fillId="0" borderId="24" xfId="0" applyFont="1" applyBorder="1"/>
    <xf numFmtId="0" fontId="3" fillId="0" borderId="25" xfId="0" applyFont="1" applyBorder="1"/>
    <xf numFmtId="0" fontId="3" fillId="3" borderId="28" xfId="0" applyFont="1" applyFill="1" applyBorder="1" applyAlignment="1">
      <alignment wrapText="1"/>
    </xf>
    <xf numFmtId="0" fontId="3" fillId="0" borderId="29" xfId="0" applyFont="1" applyBorder="1" applyAlignment="1">
      <alignment wrapText="1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1" fillId="3" borderId="28" xfId="0" applyFont="1" applyFill="1" applyBorder="1" applyAlignment="1">
      <alignment wrapText="1"/>
    </xf>
    <xf numFmtId="1" fontId="3" fillId="0" borderId="30" xfId="0" applyNumberFormat="1" applyFont="1" applyBorder="1" applyAlignment="1">
      <alignment horizontal="right"/>
    </xf>
    <xf numFmtId="1" fontId="3" fillId="0" borderId="33" xfId="0" applyNumberFormat="1" applyFont="1" applyBorder="1" applyAlignment="1">
      <alignment horizontal="right"/>
    </xf>
    <xf numFmtId="0" fontId="3" fillId="0" borderId="29" xfId="0" applyFont="1" applyBorder="1" applyAlignment="1">
      <alignment horizontal="left" wrapText="1"/>
    </xf>
    <xf numFmtId="0" fontId="3" fillId="3" borderId="34" xfId="0" applyFont="1" applyFill="1" applyBorder="1" applyAlignment="1">
      <alignment wrapText="1"/>
    </xf>
    <xf numFmtId="0" fontId="3" fillId="0" borderId="35" xfId="0" applyFont="1" applyBorder="1" applyAlignment="1">
      <alignment wrapText="1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6" xfId="0" applyFont="1" applyBorder="1" applyAlignment="1">
      <alignment horizontal="right"/>
    </xf>
    <xf numFmtId="1" fontId="3" fillId="0" borderId="39" xfId="0" applyNumberFormat="1" applyFont="1" applyBorder="1" applyAlignment="1">
      <alignment horizontal="right"/>
    </xf>
    <xf numFmtId="0" fontId="3" fillId="0" borderId="1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2" fillId="0" borderId="44" xfId="0" applyFont="1" applyBorder="1"/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wrapText="1"/>
    </xf>
    <xf numFmtId="0" fontId="1" fillId="0" borderId="50" xfId="0" applyFont="1" applyBorder="1"/>
    <xf numFmtId="164" fontId="1" fillId="0" borderId="49" xfId="0" applyNumberFormat="1" applyFont="1" applyBorder="1" applyAlignment="1">
      <alignment horizontal="center"/>
    </xf>
    <xf numFmtId="0" fontId="3" fillId="0" borderId="51" xfId="0" applyFont="1" applyBorder="1" applyAlignment="1">
      <alignment horizontal="left" wrapText="1"/>
    </xf>
    <xf numFmtId="165" fontId="3" fillId="0" borderId="33" xfId="0" applyNumberFormat="1" applyFont="1" applyBorder="1"/>
    <xf numFmtId="0" fontId="3" fillId="0" borderId="58" xfId="0" applyFont="1" applyBorder="1" applyAlignment="1">
      <alignment wrapText="1"/>
    </xf>
    <xf numFmtId="0" fontId="3" fillId="0" borderId="35" xfId="0" applyFont="1" applyBorder="1" applyAlignment="1">
      <alignment horizontal="left" wrapText="1"/>
    </xf>
    <xf numFmtId="0" fontId="3" fillId="4" borderId="26" xfId="0" applyFont="1" applyFill="1" applyBorder="1"/>
    <xf numFmtId="0" fontId="3" fillId="4" borderId="24" xfId="0" applyFont="1" applyFill="1" applyBorder="1"/>
    <xf numFmtId="0" fontId="3" fillId="4" borderId="27" xfId="0" applyFont="1" applyFill="1" applyBorder="1"/>
    <xf numFmtId="0" fontId="3" fillId="4" borderId="32" xfId="0" applyFont="1" applyFill="1" applyBorder="1" applyAlignment="1">
      <alignment horizontal="center"/>
    </xf>
    <xf numFmtId="165" fontId="3" fillId="4" borderId="33" xfId="0" applyNumberFormat="1" applyFont="1" applyFill="1" applyBorder="1"/>
    <xf numFmtId="165" fontId="3" fillId="4" borderId="39" xfId="0" applyNumberFormat="1" applyFont="1" applyFill="1" applyBorder="1"/>
    <xf numFmtId="0" fontId="2" fillId="0" borderId="7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3" xfId="0" applyFont="1" applyBorder="1" applyAlignment="1">
      <alignment wrapText="1"/>
    </xf>
    <xf numFmtId="165" fontId="3" fillId="4" borderId="30" xfId="0" applyNumberFormat="1" applyFont="1" applyFill="1" applyBorder="1" applyAlignment="1">
      <alignment horizontal="right"/>
    </xf>
    <xf numFmtId="165" fontId="3" fillId="4" borderId="33" xfId="0" applyNumberFormat="1" applyFont="1" applyFill="1" applyBorder="1" applyAlignment="1">
      <alignment horizontal="right"/>
    </xf>
    <xf numFmtId="165" fontId="3" fillId="4" borderId="57" xfId="0" applyNumberFormat="1" applyFont="1" applyFill="1" applyBorder="1" applyAlignment="1">
      <alignment horizontal="right"/>
    </xf>
    <xf numFmtId="9" fontId="3" fillId="4" borderId="57" xfId="0" applyNumberFormat="1" applyFont="1" applyFill="1" applyBorder="1" applyAlignment="1">
      <alignment horizontal="right"/>
    </xf>
    <xf numFmtId="9" fontId="3" fillId="4" borderId="64" xfId="0" applyNumberFormat="1" applyFont="1" applyFill="1" applyBorder="1" applyAlignment="1">
      <alignment horizontal="right"/>
    </xf>
    <xf numFmtId="0" fontId="3" fillId="0" borderId="17" xfId="0" applyFont="1" applyBorder="1" applyAlignment="1">
      <alignment horizontal="center" vertical="center" wrapText="1"/>
    </xf>
    <xf numFmtId="0" fontId="2" fillId="0" borderId="16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1" xfId="0" applyFont="1" applyBorder="1"/>
    <xf numFmtId="0" fontId="1" fillId="0" borderId="8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8" xfId="0" applyFont="1" applyBorder="1"/>
    <xf numFmtId="0" fontId="3" fillId="0" borderId="47" xfId="0" applyFont="1" applyBorder="1" applyAlignment="1">
      <alignment horizontal="center"/>
    </xf>
    <xf numFmtId="0" fontId="2" fillId="0" borderId="48" xfId="0" applyFont="1" applyBorder="1"/>
    <xf numFmtId="0" fontId="2" fillId="0" borderId="49" xfId="0" applyFont="1" applyBorder="1"/>
    <xf numFmtId="0" fontId="3" fillId="0" borderId="47" xfId="0" applyFont="1" applyBorder="1"/>
    <xf numFmtId="0" fontId="3" fillId="0" borderId="52" xfId="0" applyFont="1" applyBorder="1" applyAlignment="1">
      <alignment horizontal="center"/>
    </xf>
    <xf numFmtId="0" fontId="2" fillId="0" borderId="53" xfId="0" applyFont="1" applyBorder="1"/>
    <xf numFmtId="0" fontId="2" fillId="0" borderId="54" xfId="0" applyFont="1" applyBorder="1"/>
    <xf numFmtId="0" fontId="2" fillId="0" borderId="28" xfId="0" applyFont="1" applyBorder="1"/>
    <xf numFmtId="0" fontId="3" fillId="0" borderId="0" xfId="0" applyFont="1"/>
    <xf numFmtId="0" fontId="2" fillId="0" borderId="59" xfId="0" applyFont="1" applyBorder="1"/>
    <xf numFmtId="0" fontId="2" fillId="0" borderId="34" xfId="0" applyFont="1" applyBorder="1"/>
    <xf numFmtId="0" fontId="2" fillId="0" borderId="60" xfId="0" applyFont="1" applyBorder="1"/>
    <xf numFmtId="0" fontId="2" fillId="0" borderId="61" xfId="0" applyFont="1" applyBorder="1"/>
    <xf numFmtId="0" fontId="3" fillId="0" borderId="55" xfId="0" applyFont="1" applyBorder="1" applyAlignment="1">
      <alignment horizontal="left"/>
    </xf>
    <xf numFmtId="0" fontId="2" fillId="0" borderId="56" xfId="0" applyFont="1" applyBorder="1"/>
    <xf numFmtId="0" fontId="3" fillId="0" borderId="55" xfId="0" applyFont="1" applyBorder="1"/>
    <xf numFmtId="0" fontId="3" fillId="0" borderId="62" xfId="0" applyFont="1" applyBorder="1" applyAlignment="1">
      <alignment horizontal="left"/>
    </xf>
    <xf numFmtId="0" fontId="2" fillId="0" borderId="63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3" xfId="0" applyFont="1" applyBorder="1" applyAlignment="1">
      <alignment wrapText="1"/>
    </xf>
    <xf numFmtId="0" fontId="3" fillId="0" borderId="19" xfId="0" applyFont="1" applyBorder="1" applyAlignment="1">
      <alignment horizontal="center" vertical="center"/>
    </xf>
    <xf numFmtId="0" fontId="2" fillId="0" borderId="44" xfId="0" applyFont="1" applyBorder="1"/>
    <xf numFmtId="0" fontId="3" fillId="0" borderId="41" xfId="0" applyFont="1" applyBorder="1" applyAlignment="1">
      <alignment horizontal="center" vertical="center"/>
    </xf>
    <xf numFmtId="0" fontId="2" fillId="0" borderId="42" xfId="0" applyFont="1" applyBorder="1"/>
    <xf numFmtId="0" fontId="3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9" xfId="0" applyFont="1" applyBorder="1" applyAlignment="1"/>
    <xf numFmtId="0" fontId="3" fillId="0" borderId="29" xfId="0" applyFon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42" fontId="3" fillId="0" borderId="24" xfId="1" applyFont="1" applyBorder="1"/>
    <xf numFmtId="42" fontId="3" fillId="0" borderId="30" xfId="1" applyFont="1" applyBorder="1" applyAlignment="1">
      <alignment horizontal="center"/>
    </xf>
    <xf numFmtId="42" fontId="3" fillId="0" borderId="0" xfId="1" applyFont="1"/>
    <xf numFmtId="42" fontId="3" fillId="0" borderId="36" xfId="1" applyFont="1" applyBorder="1" applyAlignment="1">
      <alignment horizontal="center"/>
    </xf>
    <xf numFmtId="0" fontId="2" fillId="0" borderId="7" xfId="0" applyFont="1" applyBorder="1" applyAlignment="1"/>
    <xf numFmtId="0" fontId="3" fillId="0" borderId="17" xfId="0" applyFont="1" applyBorder="1" applyAlignment="1">
      <alignment vertical="center" wrapText="1"/>
    </xf>
    <xf numFmtId="0" fontId="2" fillId="0" borderId="16" xfId="0" applyFont="1" applyBorder="1" applyAlignment="1"/>
    <xf numFmtId="0" fontId="1" fillId="0" borderId="2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3" xfId="0" applyFont="1" applyBorder="1" applyAlignme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438150</xdr:colOff>
      <xdr:row>0</xdr:row>
      <xdr:rowOff>57150</xdr:rowOff>
    </xdr:from>
    <xdr:ext cx="1190625" cy="323850"/>
    <xdr:pic>
      <xdr:nvPicPr>
        <xdr:cNvPr id="2" name="image1.jpg">
          <a:extLst>
            <a:ext uri="{FF2B5EF4-FFF2-40B4-BE49-F238E27FC236}">
              <a16:creationId xmlns:a16="http://schemas.microsoft.com/office/drawing/2014/main" id="{87EB6765-A199-4F69-A088-72E25FE532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26015" y="53340"/>
          <a:ext cx="1190625" cy="323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438150</xdr:colOff>
      <xdr:row>0</xdr:row>
      <xdr:rowOff>57150</xdr:rowOff>
    </xdr:from>
    <xdr:ext cx="1190625" cy="323850"/>
    <xdr:pic>
      <xdr:nvPicPr>
        <xdr:cNvPr id="2" name="image1.jpg">
          <a:extLst>
            <a:ext uri="{FF2B5EF4-FFF2-40B4-BE49-F238E27FC236}">
              <a16:creationId xmlns:a16="http://schemas.microsoft.com/office/drawing/2014/main" id="{00A0EDDE-EE93-5D4C-97AC-D6A76B1FD2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39250" y="57150"/>
          <a:ext cx="1190625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87A9-95C8-4A6B-8E19-3CFE8E6FD01B}">
  <dimension ref="A1:L32"/>
  <sheetViews>
    <sheetView tabSelected="1" topLeftCell="A6" zoomScale="110" zoomScaleNormal="110" zoomScaleSheetLayoutView="90" workbookViewId="0">
      <selection activeCell="L30" sqref="L30"/>
    </sheetView>
  </sheetViews>
  <sheetFormatPr baseColWidth="10" defaultColWidth="14.5" defaultRowHeight="15" x14ac:dyDescent="0.35"/>
  <cols>
    <col min="1" max="1" width="50.5" style="4" customWidth="1"/>
    <col min="2" max="2" width="21" style="4" customWidth="1"/>
    <col min="3" max="4" width="10.59765625" style="1" customWidth="1"/>
    <col min="5" max="6" width="7.09765625" style="1" bestFit="1" customWidth="1"/>
    <col min="7" max="7" width="8.5" style="1" customWidth="1"/>
    <col min="8" max="9" width="7.09765625" style="1" bestFit="1" customWidth="1"/>
    <col min="10" max="10" width="9.5" style="1" customWidth="1"/>
    <col min="11" max="12" width="8.3984375" style="1" customWidth="1"/>
    <col min="13" max="26" width="10.59765625" style="1" customWidth="1"/>
    <col min="27" max="16384" width="14.5" style="1"/>
  </cols>
  <sheetData>
    <row r="1" spans="1:12" ht="15.6" thickTop="1" x14ac:dyDescent="0.3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9"/>
    </row>
    <row r="2" spans="1:12" ht="15.6" thickBot="1" x14ac:dyDescent="0.4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2"/>
    </row>
    <row r="3" spans="1:12" ht="60.6" thickTop="1" x14ac:dyDescent="0.35">
      <c r="A3" s="5" t="s">
        <v>1</v>
      </c>
      <c r="B3" s="113"/>
      <c r="C3" s="114" t="s">
        <v>66</v>
      </c>
      <c r="D3" s="114" t="s">
        <v>67</v>
      </c>
      <c r="G3" s="6" t="s">
        <v>3</v>
      </c>
      <c r="H3" s="110"/>
      <c r="I3" s="6" t="s">
        <v>5</v>
      </c>
      <c r="J3" s="110"/>
      <c r="K3" s="6" t="s">
        <v>6</v>
      </c>
      <c r="L3" s="115"/>
    </row>
    <row r="4" spans="1:12" ht="26.4" customHeight="1" thickBot="1" x14ac:dyDescent="0.4">
      <c r="A4" s="101" t="s">
        <v>64</v>
      </c>
      <c r="B4" s="102"/>
      <c r="C4" s="3"/>
      <c r="D4" s="3"/>
      <c r="G4" s="111" t="s">
        <v>7</v>
      </c>
      <c r="H4" s="112"/>
      <c r="I4" s="55">
        <v>2.5</v>
      </c>
      <c r="J4" s="56"/>
      <c r="K4" s="55">
        <v>12</v>
      </c>
      <c r="L4" s="73"/>
    </row>
    <row r="5" spans="1:12" ht="16.2" thickTop="1" thickBot="1" x14ac:dyDescent="0.4"/>
    <row r="6" spans="1:12" ht="31.2" thickTop="1" thickBot="1" x14ac:dyDescent="0.4">
      <c r="A6" s="5" t="s">
        <v>9</v>
      </c>
      <c r="B6" s="6" t="s">
        <v>10</v>
      </c>
      <c r="C6" s="7" t="s">
        <v>11</v>
      </c>
      <c r="D6" s="7" t="s">
        <v>12</v>
      </c>
      <c r="E6" s="7" t="s">
        <v>59</v>
      </c>
      <c r="F6" s="7" t="s">
        <v>60</v>
      </c>
      <c r="G6" s="7" t="s">
        <v>61</v>
      </c>
      <c r="H6" s="7" t="s">
        <v>62</v>
      </c>
      <c r="I6" s="7" t="s">
        <v>63</v>
      </c>
      <c r="J6" s="8" t="s">
        <v>18</v>
      </c>
      <c r="K6" s="7" t="s">
        <v>19</v>
      </c>
      <c r="L6" s="9" t="s">
        <v>20</v>
      </c>
    </row>
    <row r="7" spans="1:12" ht="15.6" thickTop="1" x14ac:dyDescent="0.35">
      <c r="A7" s="10"/>
      <c r="B7" s="11"/>
      <c r="C7" s="12"/>
      <c r="D7" s="106"/>
      <c r="E7" s="12"/>
      <c r="F7" s="12"/>
      <c r="G7" s="12"/>
      <c r="H7" s="12"/>
      <c r="I7" s="13"/>
      <c r="J7" s="41"/>
      <c r="K7" s="42"/>
      <c r="L7" s="43"/>
    </row>
    <row r="8" spans="1:12" x14ac:dyDescent="0.35">
      <c r="A8" s="14"/>
      <c r="B8" s="15" t="s">
        <v>50</v>
      </c>
      <c r="C8" s="16" t="s">
        <v>23</v>
      </c>
      <c r="D8" s="107">
        <v>1302</v>
      </c>
      <c r="E8" s="16">
        <v>0.4</v>
      </c>
      <c r="F8" s="16"/>
      <c r="G8" s="16"/>
      <c r="H8" s="16"/>
      <c r="I8" s="17"/>
      <c r="J8" s="44">
        <f>SUM(E8:I8)</f>
        <v>0.4</v>
      </c>
      <c r="K8" s="50">
        <f>D8*J8</f>
        <v>520.80000000000007</v>
      </c>
      <c r="L8" s="51">
        <f>K8/$K$4</f>
        <v>43.400000000000006</v>
      </c>
    </row>
    <row r="9" spans="1:12" x14ac:dyDescent="0.35">
      <c r="A9" s="19"/>
      <c r="B9" s="15" t="s">
        <v>31</v>
      </c>
      <c r="C9" s="16" t="s">
        <v>23</v>
      </c>
      <c r="D9" s="107">
        <v>450</v>
      </c>
      <c r="E9" s="16">
        <v>1E-3</v>
      </c>
      <c r="F9" s="16"/>
      <c r="G9" s="16"/>
      <c r="H9" s="16"/>
      <c r="I9" s="17"/>
      <c r="J9" s="44">
        <f t="shared" ref="J9:J18" si="0">SUM(E9:I9)</f>
        <v>1E-3</v>
      </c>
      <c r="K9" s="50">
        <f t="shared" ref="K9:K18" si="1">D9*J9</f>
        <v>0.45</v>
      </c>
      <c r="L9" s="51">
        <f t="shared" ref="L9:L17" si="2">K9/$K$4</f>
        <v>3.7499999999999999E-2</v>
      </c>
    </row>
    <row r="10" spans="1:12" x14ac:dyDescent="0.35">
      <c r="A10" s="14"/>
      <c r="B10" s="15" t="s">
        <v>51</v>
      </c>
      <c r="C10" s="16" t="s">
        <v>23</v>
      </c>
      <c r="D10" s="107">
        <v>1925</v>
      </c>
      <c r="E10" s="16">
        <v>5.0000000000000001E-3</v>
      </c>
      <c r="F10" s="16"/>
      <c r="G10" s="16"/>
      <c r="H10" s="16"/>
      <c r="I10" s="17"/>
      <c r="J10" s="44">
        <f t="shared" si="0"/>
        <v>5.0000000000000001E-3</v>
      </c>
      <c r="K10" s="50">
        <f t="shared" si="1"/>
        <v>9.625</v>
      </c>
      <c r="L10" s="51">
        <f t="shared" si="2"/>
        <v>0.80208333333333337</v>
      </c>
    </row>
    <row r="11" spans="1:12" x14ac:dyDescent="0.35">
      <c r="A11" s="14"/>
      <c r="B11" s="22" t="s">
        <v>52</v>
      </c>
      <c r="C11" s="16" t="s">
        <v>23</v>
      </c>
      <c r="D11" s="107">
        <v>2550</v>
      </c>
      <c r="E11" s="16">
        <v>0.12</v>
      </c>
      <c r="F11" s="16"/>
      <c r="G11" s="16"/>
      <c r="H11" s="16"/>
      <c r="I11" s="17"/>
      <c r="J11" s="44">
        <f t="shared" si="0"/>
        <v>0.12</v>
      </c>
      <c r="K11" s="50">
        <f t="shared" si="1"/>
        <v>306</v>
      </c>
      <c r="L11" s="51">
        <f t="shared" si="2"/>
        <v>25.5</v>
      </c>
    </row>
    <row r="12" spans="1:12" x14ac:dyDescent="0.35">
      <c r="A12" s="14"/>
      <c r="B12" s="104" t="s">
        <v>53</v>
      </c>
      <c r="C12" s="16" t="s">
        <v>23</v>
      </c>
      <c r="D12" s="107">
        <v>1314</v>
      </c>
      <c r="E12" s="16">
        <v>0.24</v>
      </c>
      <c r="F12" s="16"/>
      <c r="G12" s="16"/>
      <c r="H12" s="16"/>
      <c r="I12" s="17"/>
      <c r="J12" s="44">
        <f t="shared" si="0"/>
        <v>0.24</v>
      </c>
      <c r="K12" s="50">
        <f t="shared" si="1"/>
        <v>315.36</v>
      </c>
      <c r="L12" s="51">
        <f t="shared" si="2"/>
        <v>26.28</v>
      </c>
    </row>
    <row r="13" spans="1:12" x14ac:dyDescent="0.35">
      <c r="A13" s="14"/>
      <c r="B13" s="15" t="s">
        <v>54</v>
      </c>
      <c r="C13" s="16" t="s">
        <v>34</v>
      </c>
      <c r="D13" s="107">
        <v>273</v>
      </c>
      <c r="E13" s="16">
        <v>6</v>
      </c>
      <c r="F13" s="16"/>
      <c r="G13" s="16"/>
      <c r="H13" s="16"/>
      <c r="I13" s="17"/>
      <c r="J13" s="44">
        <f t="shared" si="0"/>
        <v>6</v>
      </c>
      <c r="K13" s="50">
        <f t="shared" si="1"/>
        <v>1638</v>
      </c>
      <c r="L13" s="51">
        <f t="shared" si="2"/>
        <v>136.5</v>
      </c>
    </row>
    <row r="14" spans="1:12" x14ac:dyDescent="0.35">
      <c r="A14" s="14"/>
      <c r="B14" s="15" t="s">
        <v>55</v>
      </c>
      <c r="C14" s="16" t="s">
        <v>30</v>
      </c>
      <c r="D14" s="107">
        <v>1150</v>
      </c>
      <c r="E14" s="16">
        <v>0.125</v>
      </c>
      <c r="F14" s="16"/>
      <c r="G14" s="16"/>
      <c r="H14" s="16"/>
      <c r="I14" s="17"/>
      <c r="J14" s="44">
        <f t="shared" si="0"/>
        <v>0.125</v>
      </c>
      <c r="K14" s="50">
        <f t="shared" si="1"/>
        <v>143.75</v>
      </c>
      <c r="L14" s="51">
        <f t="shared" si="2"/>
        <v>11.979166666666666</v>
      </c>
    </row>
    <row r="15" spans="1:12" x14ac:dyDescent="0.35">
      <c r="A15" s="19"/>
      <c r="B15" s="15" t="s">
        <v>56</v>
      </c>
      <c r="C15" s="16" t="s">
        <v>30</v>
      </c>
      <c r="D15" s="108"/>
      <c r="E15" s="16"/>
      <c r="F15" s="16"/>
      <c r="G15" s="16"/>
      <c r="H15" s="16"/>
      <c r="I15" s="17"/>
      <c r="J15" s="44">
        <f t="shared" si="0"/>
        <v>0</v>
      </c>
      <c r="K15" s="50">
        <f>D15*J15</f>
        <v>0</v>
      </c>
      <c r="L15" s="51">
        <f t="shared" si="2"/>
        <v>0</v>
      </c>
    </row>
    <row r="16" spans="1:12" x14ac:dyDescent="0.35">
      <c r="A16" s="14"/>
      <c r="B16" s="15" t="s">
        <v>57</v>
      </c>
      <c r="C16" s="16" t="s">
        <v>30</v>
      </c>
      <c r="D16" s="107">
        <v>2505</v>
      </c>
      <c r="E16" s="16">
        <v>0.12</v>
      </c>
      <c r="F16" s="16"/>
      <c r="G16" s="16"/>
      <c r="H16" s="16"/>
      <c r="I16" s="17"/>
      <c r="J16" s="44">
        <f t="shared" si="0"/>
        <v>0.12</v>
      </c>
      <c r="K16" s="50">
        <f t="shared" si="1"/>
        <v>300.59999999999997</v>
      </c>
      <c r="L16" s="51">
        <f t="shared" si="2"/>
        <v>25.049999999999997</v>
      </c>
    </row>
    <row r="17" spans="1:12" x14ac:dyDescent="0.35">
      <c r="A17" s="14"/>
      <c r="B17" s="103" t="s">
        <v>58</v>
      </c>
      <c r="C17" s="16" t="s">
        <v>23</v>
      </c>
      <c r="D17" s="107">
        <v>9900</v>
      </c>
      <c r="E17" s="16">
        <v>1.4999999999999999E-2</v>
      </c>
      <c r="F17" s="16"/>
      <c r="G17" s="16"/>
      <c r="H17" s="16"/>
      <c r="I17" s="17"/>
      <c r="J17" s="44">
        <f t="shared" si="0"/>
        <v>1.4999999999999999E-2</v>
      </c>
      <c r="K17" s="50">
        <f t="shared" si="1"/>
        <v>148.5</v>
      </c>
      <c r="L17" s="51">
        <f t="shared" si="2"/>
        <v>12.375</v>
      </c>
    </row>
    <row r="18" spans="1:12" x14ac:dyDescent="0.35">
      <c r="A18" s="14"/>
      <c r="B18" s="15" t="s">
        <v>65</v>
      </c>
      <c r="C18" s="16" t="s">
        <v>23</v>
      </c>
      <c r="D18" s="107">
        <v>9900</v>
      </c>
      <c r="E18" s="16">
        <v>0.04</v>
      </c>
      <c r="F18" s="16"/>
      <c r="G18" s="16"/>
      <c r="H18" s="16"/>
      <c r="I18" s="17"/>
      <c r="J18" s="18">
        <f t="shared" si="0"/>
        <v>0.04</v>
      </c>
      <c r="K18" s="50">
        <f t="shared" si="1"/>
        <v>396</v>
      </c>
      <c r="L18" s="51">
        <f t="shared" ref="L18" si="3">K18/$K$4</f>
        <v>33</v>
      </c>
    </row>
    <row r="19" spans="1:12" ht="15.6" thickBot="1" x14ac:dyDescent="0.4">
      <c r="A19" s="23"/>
      <c r="B19" s="24"/>
      <c r="C19" s="25"/>
      <c r="D19" s="109"/>
      <c r="E19" s="25"/>
      <c r="F19" s="25"/>
      <c r="G19" s="25"/>
      <c r="H19" s="25"/>
      <c r="I19" s="26"/>
      <c r="J19" s="27"/>
      <c r="K19" s="28"/>
      <c r="L19" s="29"/>
    </row>
    <row r="20" spans="1:12" ht="16.2" thickTop="1" thickBot="1" x14ac:dyDescent="0.4"/>
    <row r="21" spans="1:12" ht="15.6" thickTop="1" x14ac:dyDescent="0.35">
      <c r="A21" s="105" t="s">
        <v>35</v>
      </c>
      <c r="B21" s="47"/>
      <c r="C21" s="96" t="s">
        <v>36</v>
      </c>
      <c r="D21" s="30"/>
      <c r="E21" s="31" t="s">
        <v>13</v>
      </c>
      <c r="F21" s="31" t="s">
        <v>14</v>
      </c>
      <c r="G21" s="31" t="s">
        <v>15</v>
      </c>
      <c r="H21" s="31" t="s">
        <v>16</v>
      </c>
      <c r="I21" s="31" t="s">
        <v>17</v>
      </c>
      <c r="J21" s="98" t="s">
        <v>37</v>
      </c>
      <c r="K21" s="99"/>
    </row>
    <row r="22" spans="1:12" ht="15.6" thickBot="1" x14ac:dyDescent="0.4">
      <c r="A22" s="48"/>
      <c r="B22" s="49"/>
      <c r="C22" s="97"/>
      <c r="D22" s="32"/>
      <c r="E22" s="33"/>
      <c r="F22" s="33"/>
      <c r="G22" s="33"/>
      <c r="H22" s="33"/>
      <c r="I22" s="33"/>
      <c r="J22" s="100">
        <f>SUM(E22:I22)</f>
        <v>0</v>
      </c>
      <c r="K22" s="73"/>
    </row>
    <row r="23" spans="1:12" ht="16.2" thickTop="1" thickBot="1" x14ac:dyDescent="0.4"/>
    <row r="24" spans="1:12" ht="16.2" thickTop="1" thickBot="1" x14ac:dyDescent="0.4">
      <c r="A24" s="34" t="s">
        <v>38</v>
      </c>
      <c r="B24" s="74" t="s">
        <v>39</v>
      </c>
      <c r="C24" s="75"/>
      <c r="D24" s="75"/>
      <c r="E24" s="75"/>
      <c r="F24" s="76"/>
      <c r="G24" s="77" t="s">
        <v>40</v>
      </c>
      <c r="H24" s="75"/>
      <c r="I24" s="75"/>
      <c r="J24" s="75"/>
      <c r="K24" s="35" t="s">
        <v>18</v>
      </c>
      <c r="L24" s="36" t="s">
        <v>41</v>
      </c>
    </row>
    <row r="25" spans="1:12" ht="15.6" thickTop="1" x14ac:dyDescent="0.35">
      <c r="A25" s="37"/>
      <c r="B25" s="78"/>
      <c r="C25" s="79"/>
      <c r="D25" s="79"/>
      <c r="E25" s="79"/>
      <c r="F25" s="80"/>
      <c r="G25" s="87" t="s">
        <v>42</v>
      </c>
      <c r="H25" s="88"/>
      <c r="I25" s="88"/>
      <c r="J25" s="88"/>
      <c r="K25" s="52">
        <f>SUM(K8:K17)</f>
        <v>3383.085</v>
      </c>
      <c r="L25" s="45">
        <f>K25/K4</f>
        <v>281.92374999999998</v>
      </c>
    </row>
    <row r="26" spans="1:12" ht="15.6" thickBot="1" x14ac:dyDescent="0.4">
      <c r="A26" s="39"/>
      <c r="B26" s="81"/>
      <c r="C26" s="82"/>
      <c r="D26" s="82"/>
      <c r="E26" s="82"/>
      <c r="F26" s="83"/>
      <c r="G26" s="89" t="s">
        <v>43</v>
      </c>
      <c r="H26" s="88"/>
      <c r="I26" s="88"/>
      <c r="J26" s="88"/>
      <c r="K26" s="53">
        <v>0.02</v>
      </c>
      <c r="L26" s="38"/>
    </row>
    <row r="27" spans="1:12" ht="16.2" thickTop="1" thickBot="1" x14ac:dyDescent="0.4">
      <c r="A27" s="34" t="s">
        <v>44</v>
      </c>
      <c r="B27" s="81"/>
      <c r="C27" s="82"/>
      <c r="D27" s="82"/>
      <c r="E27" s="82"/>
      <c r="F27" s="83"/>
      <c r="G27" s="89" t="s">
        <v>45</v>
      </c>
      <c r="H27" s="88"/>
      <c r="I27" s="88"/>
      <c r="J27" s="88"/>
      <c r="K27" s="52">
        <f>K25+(K25*K26)</f>
        <v>3450.7467000000001</v>
      </c>
      <c r="L27" s="38"/>
    </row>
    <row r="28" spans="1:12" ht="15.6" thickTop="1" x14ac:dyDescent="0.35">
      <c r="A28" s="37"/>
      <c r="B28" s="81"/>
      <c r="C28" s="82"/>
      <c r="D28" s="82"/>
      <c r="E28" s="82"/>
      <c r="F28" s="83"/>
      <c r="G28" s="89" t="s">
        <v>46</v>
      </c>
      <c r="H28" s="88"/>
      <c r="I28" s="88"/>
      <c r="J28" s="88"/>
      <c r="K28" s="53">
        <v>0.19</v>
      </c>
      <c r="L28" s="38"/>
    </row>
    <row r="29" spans="1:12" x14ac:dyDescent="0.35">
      <c r="A29" s="22"/>
      <c r="B29" s="81"/>
      <c r="C29" s="82"/>
      <c r="D29" s="82"/>
      <c r="E29" s="82"/>
      <c r="F29" s="83"/>
      <c r="G29" s="87" t="s">
        <v>47</v>
      </c>
      <c r="H29" s="88"/>
      <c r="I29" s="88"/>
      <c r="J29" s="88"/>
      <c r="K29" s="52">
        <f>K27*K28</f>
        <v>655.64187300000003</v>
      </c>
      <c r="L29" s="38"/>
    </row>
    <row r="30" spans="1:12" x14ac:dyDescent="0.35">
      <c r="A30" s="22"/>
      <c r="B30" s="81"/>
      <c r="C30" s="82"/>
      <c r="D30" s="82"/>
      <c r="E30" s="82"/>
      <c r="F30" s="83"/>
      <c r="G30" s="89" t="s">
        <v>48</v>
      </c>
      <c r="H30" s="88"/>
      <c r="I30" s="88"/>
      <c r="J30" s="88"/>
      <c r="K30" s="52">
        <f>K27+K29</f>
        <v>4106.3885730000002</v>
      </c>
      <c r="L30" s="38">
        <f>K30/K4</f>
        <v>342.19904775000003</v>
      </c>
    </row>
    <row r="31" spans="1:12" ht="15.6" thickBot="1" x14ac:dyDescent="0.4">
      <c r="A31" s="40"/>
      <c r="B31" s="84"/>
      <c r="C31" s="85"/>
      <c r="D31" s="85"/>
      <c r="E31" s="85"/>
      <c r="F31" s="86"/>
      <c r="G31" s="90" t="s">
        <v>49</v>
      </c>
      <c r="H31" s="91"/>
      <c r="I31" s="91"/>
      <c r="J31" s="91"/>
      <c r="K31" s="54"/>
      <c r="L31" s="46"/>
    </row>
    <row r="32" spans="1:12" s="4" customFormat="1" ht="15.6" thickTop="1" x14ac:dyDescent="0.35">
      <c r="C32" s="1"/>
      <c r="D32" s="1"/>
      <c r="E32" s="1"/>
      <c r="F32" s="1"/>
      <c r="G32" s="1"/>
      <c r="H32" s="1"/>
      <c r="I32" s="1"/>
      <c r="J32" s="1"/>
      <c r="K32" s="1"/>
      <c r="L32" s="1"/>
    </row>
  </sheetData>
  <mergeCells count="17">
    <mergeCell ref="B24:F24"/>
    <mergeCell ref="G24:J24"/>
    <mergeCell ref="B25:F31"/>
    <mergeCell ref="G25:J25"/>
    <mergeCell ref="G26:J26"/>
    <mergeCell ref="G27:J27"/>
    <mergeCell ref="G28:J28"/>
    <mergeCell ref="G29:J29"/>
    <mergeCell ref="G30:J30"/>
    <mergeCell ref="G31:J31"/>
    <mergeCell ref="A4:B4"/>
    <mergeCell ref="I4:J4"/>
    <mergeCell ref="K4:L4"/>
    <mergeCell ref="C21:C22"/>
    <mergeCell ref="J21:K21"/>
    <mergeCell ref="J22:K22"/>
    <mergeCell ref="A1:L2"/>
  </mergeCells>
  <pageMargins left="0.7" right="0.7" top="0.75" bottom="0.75" header="0.3" footer="0.3"/>
  <pageSetup scale="55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A77A-1DC3-5A40-AC0F-94A01BA943DF}">
  <dimension ref="A1:L33"/>
  <sheetViews>
    <sheetView zoomScale="110" zoomScaleNormal="110" zoomScaleSheetLayoutView="90" workbookViewId="0">
      <selection activeCell="B9" sqref="B9"/>
    </sheetView>
  </sheetViews>
  <sheetFormatPr baseColWidth="10" defaultColWidth="14.5" defaultRowHeight="15" x14ac:dyDescent="0.35"/>
  <cols>
    <col min="1" max="1" width="50.5" style="4" customWidth="1"/>
    <col min="2" max="2" width="18.5" style="4" customWidth="1"/>
    <col min="3" max="4" width="10.59765625" style="1" customWidth="1"/>
    <col min="5" max="9" width="7.09765625" style="1" bestFit="1" customWidth="1"/>
    <col min="10" max="10" width="9.5" style="1" customWidth="1"/>
    <col min="11" max="12" width="8.3984375" style="1" customWidth="1"/>
    <col min="13" max="26" width="10.59765625" style="1" customWidth="1"/>
    <col min="27" max="16384" width="14.5" style="1"/>
  </cols>
  <sheetData>
    <row r="1" spans="1:12" ht="15.6" thickTop="1" x14ac:dyDescent="0.3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9"/>
    </row>
    <row r="2" spans="1:12" ht="15.6" thickBot="1" x14ac:dyDescent="0.4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2"/>
    </row>
    <row r="3" spans="1:12" ht="15.6" thickTop="1" x14ac:dyDescent="0.35">
      <c r="A3" s="63" t="s">
        <v>1</v>
      </c>
      <c r="B3" s="64"/>
      <c r="C3" s="67"/>
      <c r="D3" s="67" t="s">
        <v>2</v>
      </c>
      <c r="E3" s="69" t="s">
        <v>3</v>
      </c>
      <c r="F3" s="70"/>
      <c r="G3" s="69" t="s">
        <v>4</v>
      </c>
      <c r="H3" s="70"/>
      <c r="I3" s="69" t="s">
        <v>5</v>
      </c>
      <c r="J3" s="70"/>
      <c r="K3" s="69" t="s">
        <v>6</v>
      </c>
      <c r="L3" s="59"/>
    </row>
    <row r="4" spans="1:12" ht="23.4" customHeight="1" x14ac:dyDescent="0.35">
      <c r="A4" s="65"/>
      <c r="B4" s="66"/>
      <c r="C4" s="68"/>
      <c r="D4" s="68"/>
      <c r="E4" s="71"/>
      <c r="F4" s="68"/>
      <c r="G4" s="71"/>
      <c r="H4" s="68"/>
      <c r="I4" s="71"/>
      <c r="J4" s="68"/>
      <c r="K4" s="71"/>
      <c r="L4" s="72"/>
    </row>
    <row r="5" spans="1:12" ht="26.4" customHeight="1" thickBot="1" x14ac:dyDescent="0.4">
      <c r="A5" s="101" t="s">
        <v>7</v>
      </c>
      <c r="B5" s="102"/>
      <c r="C5" s="3"/>
      <c r="D5" s="3" t="s">
        <v>8</v>
      </c>
      <c r="E5" s="55" t="s">
        <v>7</v>
      </c>
      <c r="F5" s="56"/>
      <c r="G5" s="55"/>
      <c r="H5" s="56"/>
      <c r="I5" s="55">
        <v>2.5</v>
      </c>
      <c r="J5" s="56"/>
      <c r="K5" s="55">
        <v>18</v>
      </c>
      <c r="L5" s="73"/>
    </row>
    <row r="6" spans="1:12" ht="16.2" thickTop="1" thickBot="1" x14ac:dyDescent="0.4"/>
    <row r="7" spans="1:12" ht="31.2" thickTop="1" thickBot="1" x14ac:dyDescent="0.4">
      <c r="A7" s="5" t="s">
        <v>9</v>
      </c>
      <c r="B7" s="6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16</v>
      </c>
      <c r="I7" s="2" t="s">
        <v>17</v>
      </c>
      <c r="J7" s="8" t="s">
        <v>18</v>
      </c>
      <c r="K7" s="7" t="s">
        <v>19</v>
      </c>
      <c r="L7" s="9" t="s">
        <v>20</v>
      </c>
    </row>
    <row r="8" spans="1:12" ht="15.6" thickTop="1" x14ac:dyDescent="0.35">
      <c r="A8" s="10"/>
      <c r="B8" s="11" t="s">
        <v>21</v>
      </c>
      <c r="C8" s="12"/>
      <c r="D8" s="12"/>
      <c r="E8" s="12"/>
      <c r="F8" s="12"/>
      <c r="G8" s="12"/>
      <c r="H8" s="12"/>
      <c r="I8" s="13"/>
      <c r="J8" s="41"/>
      <c r="K8" s="42"/>
      <c r="L8" s="43"/>
    </row>
    <row r="9" spans="1:12" ht="30" x14ac:dyDescent="0.35">
      <c r="A9" s="14"/>
      <c r="B9" s="15" t="s">
        <v>22</v>
      </c>
      <c r="C9" s="16" t="s">
        <v>23</v>
      </c>
      <c r="D9" s="16">
        <v>2750</v>
      </c>
      <c r="E9" s="16">
        <v>0.5</v>
      </c>
      <c r="F9" s="16"/>
      <c r="G9" s="16"/>
      <c r="H9" s="16"/>
      <c r="I9" s="17"/>
      <c r="J9" s="44">
        <f>SUM(E9:I9)</f>
        <v>0.5</v>
      </c>
      <c r="K9" s="50">
        <f>D9*J9</f>
        <v>1375</v>
      </c>
      <c r="L9" s="51">
        <f>K9/$K$5</f>
        <v>76.388888888888886</v>
      </c>
    </row>
    <row r="10" spans="1:12" x14ac:dyDescent="0.35">
      <c r="A10" s="19"/>
      <c r="B10" s="15" t="s">
        <v>24</v>
      </c>
      <c r="C10" s="16" t="s">
        <v>23</v>
      </c>
      <c r="D10" s="16">
        <v>2990</v>
      </c>
      <c r="E10" s="16"/>
      <c r="F10" s="16">
        <v>0.5</v>
      </c>
      <c r="G10" s="16"/>
      <c r="H10" s="16"/>
      <c r="I10" s="17"/>
      <c r="J10" s="44">
        <f t="shared" ref="J10:J18" si="0">SUM(E10:I10)</f>
        <v>0.5</v>
      </c>
      <c r="K10" s="50">
        <f t="shared" ref="K10:K18" si="1">D10*J10</f>
        <v>1495</v>
      </c>
      <c r="L10" s="51">
        <f t="shared" ref="L10:L18" si="2">K10/$K$5</f>
        <v>83.055555555555557</v>
      </c>
    </row>
    <row r="11" spans="1:12" ht="30" x14ac:dyDescent="0.35">
      <c r="A11" s="14"/>
      <c r="B11" s="15" t="s">
        <v>25</v>
      </c>
      <c r="C11" s="16" t="s">
        <v>23</v>
      </c>
      <c r="D11" s="16">
        <v>3000</v>
      </c>
      <c r="E11" s="16"/>
      <c r="F11" s="16"/>
      <c r="G11" s="16">
        <v>0.5</v>
      </c>
      <c r="H11" s="16"/>
      <c r="I11" s="17">
        <v>0.5</v>
      </c>
      <c r="J11" s="44">
        <f t="shared" si="0"/>
        <v>1</v>
      </c>
      <c r="K11" s="50">
        <f t="shared" si="1"/>
        <v>3000</v>
      </c>
      <c r="L11" s="51">
        <f t="shared" si="2"/>
        <v>166.66666666666666</v>
      </c>
    </row>
    <row r="12" spans="1:12" x14ac:dyDescent="0.35">
      <c r="A12" s="14"/>
      <c r="B12" s="22" t="s">
        <v>26</v>
      </c>
      <c r="C12" s="16" t="s">
        <v>23</v>
      </c>
      <c r="D12" s="16">
        <v>2920</v>
      </c>
      <c r="E12" s="16"/>
      <c r="F12" s="16"/>
      <c r="G12" s="16"/>
      <c r="H12" s="16">
        <v>0.5</v>
      </c>
      <c r="I12" s="17"/>
      <c r="J12" s="44">
        <f t="shared" si="0"/>
        <v>0.5</v>
      </c>
      <c r="K12" s="50">
        <f t="shared" si="1"/>
        <v>1460</v>
      </c>
      <c r="L12" s="51">
        <f t="shared" si="2"/>
        <v>81.111111111111114</v>
      </c>
    </row>
    <row r="13" spans="1:12" x14ac:dyDescent="0.35">
      <c r="A13" s="14"/>
      <c r="B13" s="22" t="s">
        <v>27</v>
      </c>
      <c r="C13" s="16" t="s">
        <v>23</v>
      </c>
      <c r="D13" s="16">
        <v>1290</v>
      </c>
      <c r="E13" s="16">
        <v>0.1</v>
      </c>
      <c r="F13" s="16">
        <v>0.1</v>
      </c>
      <c r="G13" s="16"/>
      <c r="H13" s="16"/>
      <c r="I13" s="17"/>
      <c r="J13" s="44">
        <f t="shared" si="0"/>
        <v>0.2</v>
      </c>
      <c r="K13" s="50">
        <f t="shared" si="1"/>
        <v>258</v>
      </c>
      <c r="L13" s="51">
        <f t="shared" si="2"/>
        <v>14.333333333333334</v>
      </c>
    </row>
    <row r="14" spans="1:12" x14ac:dyDescent="0.35">
      <c r="A14" s="14"/>
      <c r="B14" s="15" t="s">
        <v>28</v>
      </c>
      <c r="C14" s="16" t="s">
        <v>23</v>
      </c>
      <c r="D14" s="16">
        <v>7900</v>
      </c>
      <c r="E14" s="16"/>
      <c r="F14" s="16"/>
      <c r="G14" s="16"/>
      <c r="H14" s="16">
        <v>0.1</v>
      </c>
      <c r="I14" s="17"/>
      <c r="J14" s="44">
        <f t="shared" si="0"/>
        <v>0.1</v>
      </c>
      <c r="K14" s="50">
        <f t="shared" si="1"/>
        <v>790</v>
      </c>
      <c r="L14" s="51">
        <f t="shared" si="2"/>
        <v>43.888888888888886</v>
      </c>
    </row>
    <row r="15" spans="1:12" ht="30" x14ac:dyDescent="0.35">
      <c r="A15" s="14"/>
      <c r="B15" s="15" t="s">
        <v>29</v>
      </c>
      <c r="C15" s="16" t="s">
        <v>30</v>
      </c>
      <c r="D15" s="16">
        <v>7790</v>
      </c>
      <c r="E15" s="16">
        <v>0.01</v>
      </c>
      <c r="F15" s="16">
        <v>0.01</v>
      </c>
      <c r="G15" s="16">
        <v>0.01</v>
      </c>
      <c r="H15" s="16">
        <v>0.01</v>
      </c>
      <c r="I15" s="17">
        <v>0.01</v>
      </c>
      <c r="J15" s="44">
        <f t="shared" si="0"/>
        <v>0.05</v>
      </c>
      <c r="K15" s="50">
        <f t="shared" si="1"/>
        <v>389.5</v>
      </c>
      <c r="L15" s="51">
        <f t="shared" si="2"/>
        <v>21.638888888888889</v>
      </c>
    </row>
    <row r="16" spans="1:12" x14ac:dyDescent="0.35">
      <c r="A16" s="19"/>
      <c r="B16" s="15" t="s">
        <v>31</v>
      </c>
      <c r="C16" s="16" t="s">
        <v>23</v>
      </c>
      <c r="D16" s="16">
        <v>480</v>
      </c>
      <c r="E16" s="16">
        <v>1E-3</v>
      </c>
      <c r="F16" s="16">
        <v>1E-3</v>
      </c>
      <c r="G16" s="16">
        <v>1E-3</v>
      </c>
      <c r="H16" s="16">
        <v>1E-3</v>
      </c>
      <c r="I16" s="17">
        <v>1E-3</v>
      </c>
      <c r="J16" s="44">
        <f t="shared" si="0"/>
        <v>5.0000000000000001E-3</v>
      </c>
      <c r="K16" s="50">
        <f t="shared" si="1"/>
        <v>2.4</v>
      </c>
      <c r="L16" s="51">
        <f t="shared" si="2"/>
        <v>0.13333333333333333</v>
      </c>
    </row>
    <row r="17" spans="1:12" ht="30" x14ac:dyDescent="0.35">
      <c r="A17" s="14"/>
      <c r="B17" s="15" t="s">
        <v>32</v>
      </c>
      <c r="C17" s="16" t="s">
        <v>23</v>
      </c>
      <c r="D17" s="16">
        <v>36900</v>
      </c>
      <c r="E17" s="16"/>
      <c r="F17" s="16">
        <v>1E-3</v>
      </c>
      <c r="G17" s="16">
        <v>1E-3</v>
      </c>
      <c r="H17" s="16">
        <v>1E-3</v>
      </c>
      <c r="I17" s="17">
        <v>1E-3</v>
      </c>
      <c r="J17" s="44">
        <f t="shared" si="0"/>
        <v>4.0000000000000001E-3</v>
      </c>
      <c r="K17" s="50">
        <f t="shared" si="1"/>
        <v>147.6</v>
      </c>
      <c r="L17" s="51">
        <f t="shared" si="2"/>
        <v>8.1999999999999993</v>
      </c>
    </row>
    <row r="18" spans="1:12" x14ac:dyDescent="0.35">
      <c r="A18" s="14"/>
      <c r="B18" s="15" t="s">
        <v>33</v>
      </c>
      <c r="C18" s="16" t="s">
        <v>34</v>
      </c>
      <c r="D18" s="16">
        <v>400</v>
      </c>
      <c r="E18" s="16"/>
      <c r="F18" s="16">
        <v>1E-3</v>
      </c>
      <c r="G18" s="16">
        <v>1E-3</v>
      </c>
      <c r="H18" s="16">
        <v>1E-3</v>
      </c>
      <c r="I18" s="17">
        <v>1E-3</v>
      </c>
      <c r="J18" s="44">
        <f t="shared" si="0"/>
        <v>4.0000000000000001E-3</v>
      </c>
      <c r="K18" s="50">
        <f t="shared" si="1"/>
        <v>1.6</v>
      </c>
      <c r="L18" s="51">
        <f t="shared" si="2"/>
        <v>8.8888888888888892E-2</v>
      </c>
    </row>
    <row r="19" spans="1:12" x14ac:dyDescent="0.35">
      <c r="A19" s="14"/>
      <c r="B19" s="15"/>
      <c r="C19" s="16"/>
      <c r="D19" s="16"/>
      <c r="E19" s="16"/>
      <c r="F19" s="16"/>
      <c r="G19" s="16"/>
      <c r="H19" s="16"/>
      <c r="I19" s="17"/>
      <c r="J19" s="18"/>
      <c r="K19" s="20"/>
      <c r="L19" s="21"/>
    </row>
    <row r="20" spans="1:12" ht="15.6" thickBot="1" x14ac:dyDescent="0.4">
      <c r="A20" s="23"/>
      <c r="B20" s="24"/>
      <c r="C20" s="25"/>
      <c r="D20" s="25"/>
      <c r="E20" s="25"/>
      <c r="F20" s="25"/>
      <c r="G20" s="25"/>
      <c r="H20" s="25"/>
      <c r="I20" s="26"/>
      <c r="J20" s="27"/>
      <c r="K20" s="28"/>
      <c r="L20" s="29"/>
    </row>
    <row r="21" spans="1:12" ht="16.2" thickTop="1" thickBot="1" x14ac:dyDescent="0.4"/>
    <row r="22" spans="1:12" ht="15.6" thickTop="1" x14ac:dyDescent="0.35">
      <c r="A22" s="92" t="s">
        <v>35</v>
      </c>
      <c r="B22" s="93"/>
      <c r="C22" s="96" t="s">
        <v>36</v>
      </c>
      <c r="D22" s="30"/>
      <c r="E22" s="31" t="s">
        <v>13</v>
      </c>
      <c r="F22" s="31" t="s">
        <v>14</v>
      </c>
      <c r="G22" s="31" t="s">
        <v>15</v>
      </c>
      <c r="H22" s="31" t="s">
        <v>16</v>
      </c>
      <c r="I22" s="31" t="s">
        <v>17</v>
      </c>
      <c r="J22" s="98" t="s">
        <v>37</v>
      </c>
      <c r="K22" s="99"/>
    </row>
    <row r="23" spans="1:12" ht="15.6" thickBot="1" x14ac:dyDescent="0.4">
      <c r="A23" s="94"/>
      <c r="B23" s="95"/>
      <c r="C23" s="97"/>
      <c r="D23" s="32"/>
      <c r="E23" s="33"/>
      <c r="F23" s="33"/>
      <c r="G23" s="33"/>
      <c r="H23" s="33"/>
      <c r="I23" s="33"/>
      <c r="J23" s="100">
        <f>SUM(E23:I23)</f>
        <v>0</v>
      </c>
      <c r="K23" s="73"/>
    </row>
    <row r="24" spans="1:12" ht="16.2" thickTop="1" thickBot="1" x14ac:dyDescent="0.4"/>
    <row r="25" spans="1:12" ht="16.2" thickTop="1" thickBot="1" x14ac:dyDescent="0.4">
      <c r="A25" s="34" t="s">
        <v>38</v>
      </c>
      <c r="B25" s="74" t="s">
        <v>39</v>
      </c>
      <c r="C25" s="75"/>
      <c r="D25" s="75"/>
      <c r="E25" s="75"/>
      <c r="F25" s="76"/>
      <c r="G25" s="77" t="s">
        <v>40</v>
      </c>
      <c r="H25" s="75"/>
      <c r="I25" s="75"/>
      <c r="J25" s="75"/>
      <c r="K25" s="35" t="s">
        <v>18</v>
      </c>
      <c r="L25" s="36" t="s">
        <v>41</v>
      </c>
    </row>
    <row r="26" spans="1:12" ht="15.6" thickTop="1" x14ac:dyDescent="0.35">
      <c r="A26" s="37"/>
      <c r="B26" s="78"/>
      <c r="C26" s="79"/>
      <c r="D26" s="79"/>
      <c r="E26" s="79"/>
      <c r="F26" s="80"/>
      <c r="G26" s="87" t="s">
        <v>42</v>
      </c>
      <c r="H26" s="88"/>
      <c r="I26" s="88"/>
      <c r="J26" s="88"/>
      <c r="K26" s="52">
        <f>SUM(K9:K18)</f>
        <v>8919.1</v>
      </c>
      <c r="L26" s="45">
        <f>K26/K5</f>
        <v>495.50555555555559</v>
      </c>
    </row>
    <row r="27" spans="1:12" ht="15.6" thickBot="1" x14ac:dyDescent="0.4">
      <c r="A27" s="39"/>
      <c r="B27" s="81"/>
      <c r="C27" s="82"/>
      <c r="D27" s="82"/>
      <c r="E27" s="82"/>
      <c r="F27" s="83"/>
      <c r="G27" s="89" t="s">
        <v>43</v>
      </c>
      <c r="H27" s="88"/>
      <c r="I27" s="88"/>
      <c r="J27" s="88"/>
      <c r="K27" s="53">
        <v>0.02</v>
      </c>
      <c r="L27" s="38"/>
    </row>
    <row r="28" spans="1:12" ht="16.2" thickTop="1" thickBot="1" x14ac:dyDescent="0.4">
      <c r="A28" s="34" t="s">
        <v>44</v>
      </c>
      <c r="B28" s="81"/>
      <c r="C28" s="82"/>
      <c r="D28" s="82"/>
      <c r="E28" s="82"/>
      <c r="F28" s="83"/>
      <c r="G28" s="89" t="s">
        <v>45</v>
      </c>
      <c r="H28" s="88"/>
      <c r="I28" s="88"/>
      <c r="J28" s="88"/>
      <c r="K28" s="52">
        <f>K26+(K26*K27)</f>
        <v>9097.482</v>
      </c>
      <c r="L28" s="38"/>
    </row>
    <row r="29" spans="1:12" ht="15.6" thickTop="1" x14ac:dyDescent="0.35">
      <c r="A29" s="37"/>
      <c r="B29" s="81"/>
      <c r="C29" s="82"/>
      <c r="D29" s="82"/>
      <c r="E29" s="82"/>
      <c r="F29" s="83"/>
      <c r="G29" s="89" t="s">
        <v>46</v>
      </c>
      <c r="H29" s="88"/>
      <c r="I29" s="88"/>
      <c r="J29" s="88"/>
      <c r="K29" s="53">
        <v>0.19</v>
      </c>
      <c r="L29" s="38"/>
    </row>
    <row r="30" spans="1:12" x14ac:dyDescent="0.35">
      <c r="A30" s="22"/>
      <c r="B30" s="81"/>
      <c r="C30" s="82"/>
      <c r="D30" s="82"/>
      <c r="E30" s="82"/>
      <c r="F30" s="83"/>
      <c r="G30" s="87" t="s">
        <v>47</v>
      </c>
      <c r="H30" s="88"/>
      <c r="I30" s="88"/>
      <c r="J30" s="88"/>
      <c r="K30" s="52">
        <f>K28*K29</f>
        <v>1728.5215800000001</v>
      </c>
      <c r="L30" s="38"/>
    </row>
    <row r="31" spans="1:12" x14ac:dyDescent="0.35">
      <c r="A31" s="22"/>
      <c r="B31" s="81"/>
      <c r="C31" s="82"/>
      <c r="D31" s="82"/>
      <c r="E31" s="82"/>
      <c r="F31" s="83"/>
      <c r="G31" s="89" t="s">
        <v>48</v>
      </c>
      <c r="H31" s="88"/>
      <c r="I31" s="88"/>
      <c r="J31" s="88"/>
      <c r="K31" s="52">
        <f>K28+K30</f>
        <v>10826.003580000001</v>
      </c>
      <c r="L31" s="38">
        <f>K31/K5</f>
        <v>601.44464333333337</v>
      </c>
    </row>
    <row r="32" spans="1:12" ht="15.6" thickBot="1" x14ac:dyDescent="0.4">
      <c r="A32" s="40"/>
      <c r="B32" s="84"/>
      <c r="C32" s="85"/>
      <c r="D32" s="85"/>
      <c r="E32" s="85"/>
      <c r="F32" s="86"/>
      <c r="G32" s="90" t="s">
        <v>49</v>
      </c>
      <c r="H32" s="91"/>
      <c r="I32" s="91"/>
      <c r="J32" s="91"/>
      <c r="K32" s="54">
        <f>K31/K26</f>
        <v>1.2138</v>
      </c>
      <c r="L32" s="46"/>
    </row>
    <row r="33" ht="15.6" thickTop="1" x14ac:dyDescent="0.35"/>
  </sheetData>
  <mergeCells count="27">
    <mergeCell ref="A22:B23"/>
    <mergeCell ref="C22:C23"/>
    <mergeCell ref="J22:K22"/>
    <mergeCell ref="J23:K23"/>
    <mergeCell ref="A5:B5"/>
    <mergeCell ref="B25:F25"/>
    <mergeCell ref="G25:J25"/>
    <mergeCell ref="B26:F32"/>
    <mergeCell ref="G26:J26"/>
    <mergeCell ref="G27:J27"/>
    <mergeCell ref="G28:J28"/>
    <mergeCell ref="G29:J29"/>
    <mergeCell ref="G30:J30"/>
    <mergeCell ref="G31:J31"/>
    <mergeCell ref="G32:J32"/>
    <mergeCell ref="E5:F5"/>
    <mergeCell ref="G5:H5"/>
    <mergeCell ref="I5:J5"/>
    <mergeCell ref="A1:L2"/>
    <mergeCell ref="A3:B4"/>
    <mergeCell ref="C3:C4"/>
    <mergeCell ref="E3:F4"/>
    <mergeCell ref="G3:H4"/>
    <mergeCell ref="I3:J4"/>
    <mergeCell ref="K3:L4"/>
    <mergeCell ref="D3:D4"/>
    <mergeCell ref="K5:L5"/>
  </mergeCells>
  <pageMargins left="0.7" right="0.7" top="0.75" bottom="0.75" header="0.3" footer="0.3"/>
  <pageSetup scale="55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JAVIER FAJARDO CAMPOS</dc:creator>
  <cp:keywords/>
  <dc:description/>
  <cp:lastModifiedBy>Eduardo Vergara</cp:lastModifiedBy>
  <cp:revision/>
  <dcterms:created xsi:type="dcterms:W3CDTF">2023-03-09T23:14:41Z</dcterms:created>
  <dcterms:modified xsi:type="dcterms:W3CDTF">2026-10-28T12:15:28Z</dcterms:modified>
  <cp:category/>
  <cp:contentStatus/>
</cp:coreProperties>
</file>